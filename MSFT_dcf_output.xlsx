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F Forecast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$#,##0,,&quot; M&quot;"/>
    <numFmt numFmtId="167" formatCode="#,##0,,&quot; M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wrapText="1"/>
    </xf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MSFT — DCF Valuation Summary</t>
        </is>
      </c>
    </row>
    <row r="2"/>
    <row r="3">
      <c r="A3" s="2" t="inlineStr">
        <is>
          <t>Current Price</t>
        </is>
      </c>
      <c r="B3" s="3" t="n">
        <v>480.46</v>
      </c>
    </row>
    <row r="4">
      <c r="A4" s="2" t="inlineStr">
        <is>
          <t>Implied Share Price (DCF)</t>
        </is>
      </c>
      <c r="B4" s="3" t="n">
        <v>281.1892663389006</v>
      </c>
    </row>
    <row r="5">
      <c r="A5" s="2" t="inlineStr">
        <is>
          <t>Upside / (Downside)</t>
        </is>
      </c>
      <c r="B5" s="4" t="n">
        <v>-0.4147498931463585</v>
      </c>
    </row>
    <row r="6">
      <c r="A6" s="2" t="inlineStr"/>
    </row>
    <row r="7">
      <c r="A7" s="2" t="inlineStr">
        <is>
          <t>Enterprise Value</t>
        </is>
      </c>
      <c r="B7" s="5" t="n">
        <v>2123874688780.422</v>
      </c>
    </row>
    <row r="8">
      <c r="A8" s="2" t="inlineStr">
        <is>
          <t>Equity Value</t>
        </is>
      </c>
      <c r="B8" s="5" t="n">
        <v>2087983688780.422</v>
      </c>
    </row>
    <row r="9">
      <c r="A9" s="2" t="inlineStr">
        <is>
          <t>Cash</t>
        </is>
      </c>
      <c r="B9" s="5" t="n">
        <v>20935000000</v>
      </c>
    </row>
    <row r="10">
      <c r="A10" s="2" t="inlineStr">
        <is>
          <t>Total Debt</t>
        </is>
      </c>
      <c r="B10" s="5" t="n">
        <v>56826000000</v>
      </c>
    </row>
    <row r="11">
      <c r="A11" s="2" t="inlineStr">
        <is>
          <t>Shares Outstanding</t>
        </is>
      </c>
      <c r="B11" s="6" t="n">
        <v>7425545491</v>
      </c>
    </row>
    <row r="12">
      <c r="A12" s="2" t="inlineStr"/>
    </row>
    <row r="13">
      <c r="A13" s="2" t="inlineStr">
        <is>
          <t>Key Assumptions</t>
        </is>
      </c>
    </row>
    <row r="14">
      <c r="A14" s="2" t="inlineStr">
        <is>
          <t>Revenue Growth</t>
        </is>
      </c>
      <c r="B14" s="4" t="n">
        <v>0.1566996201307127</v>
      </c>
    </row>
    <row r="15">
      <c r="A15" s="2" t="inlineStr">
        <is>
          <t>EBIT Margin</t>
        </is>
      </c>
      <c r="B15" s="4" t="n">
        <v>0.4494952187666748</v>
      </c>
    </row>
    <row r="16">
      <c r="A16" s="2" t="inlineStr">
        <is>
          <t>Capex % of Revenue</t>
        </is>
      </c>
      <c r="B16" s="4" t="n">
        <v>0.205288465177776</v>
      </c>
    </row>
    <row r="17">
      <c r="A17" s="2" t="inlineStr">
        <is>
          <t>D&amp;A % of Revenue</t>
        </is>
      </c>
      <c r="B17" s="4" t="n">
        <v>0.0949874368232522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19" customWidth="1" min="5" max="5"/>
    <col width="19" customWidth="1" min="6" max="6"/>
    <col width="19" customWidth="1" min="7" max="7"/>
    <col width="20" customWidth="1" min="8" max="8"/>
  </cols>
  <sheetData>
    <row r="1">
      <c r="A1" s="1" t="inlineStr">
        <is>
          <t>5-Year Free Cash Flow Forecast</t>
        </is>
      </c>
    </row>
    <row r="2"/>
    <row r="3">
      <c r="A3" s="7" t="inlineStr">
        <is>
          <t>Year</t>
        </is>
      </c>
      <c r="B3" s="7" t="inlineStr">
        <is>
          <t>Revenue</t>
        </is>
      </c>
      <c r="C3" s="7" t="inlineStr">
        <is>
          <t>EBIT</t>
        </is>
      </c>
      <c r="D3" s="7" t="inlineStr">
        <is>
          <t>NOPAT</t>
        </is>
      </c>
      <c r="E3" s="7" t="inlineStr">
        <is>
          <t>D&amp;A</t>
        </is>
      </c>
      <c r="F3" s="7" t="inlineStr">
        <is>
          <t>Capex</t>
        </is>
      </c>
      <c r="G3" s="7" t="inlineStr">
        <is>
          <t>Change in NWC</t>
        </is>
      </c>
      <c r="H3" s="7" t="inlineStr">
        <is>
          <t>FCF</t>
        </is>
      </c>
    </row>
    <row r="4">
      <c r="A4" s="8" t="n">
        <v>1</v>
      </c>
      <c r="B4" s="9" t="n">
        <v>383838045244.5555</v>
      </c>
      <c r="C4" s="9" t="n">
        <v>172533366118.1743</v>
      </c>
      <c r="D4" s="9" t="n">
        <v>136301359233.3577</v>
      </c>
      <c r="E4" s="9" t="n">
        <v>36459792073.02784</v>
      </c>
      <c r="F4" s="9" t="n">
        <v>78797523185.09254</v>
      </c>
      <c r="G4" s="9" t="n">
        <v>8081869936.371368</v>
      </c>
      <c r="H4" s="9" t="n">
        <v>85881758184.92162</v>
      </c>
    </row>
    <row r="5">
      <c r="A5" s="8" t="n">
        <v>2</v>
      </c>
      <c r="B5" s="9" t="n">
        <v>443985321126.0927</v>
      </c>
      <c r="C5" s="9" t="n">
        <v>199569279048.7654</v>
      </c>
      <c r="D5" s="9" t="n">
        <v>157659730448.5247</v>
      </c>
      <c r="E5" s="9" t="n">
        <v>42173027640.91607</v>
      </c>
      <c r="F5" s="9" t="n">
        <v>91145065135.43758</v>
      </c>
      <c r="G5" s="9" t="n">
        <v>4079184130.321514</v>
      </c>
      <c r="H5" s="9" t="n">
        <v>104608508823.6816</v>
      </c>
    </row>
    <row r="6">
      <c r="A6" s="8" t="n">
        <v>3</v>
      </c>
      <c r="B6" s="9" t="n">
        <v>513557652290.1639</v>
      </c>
      <c r="C6" s="9" t="n">
        <v>230841709265.4671</v>
      </c>
      <c r="D6" s="9" t="n">
        <v>182364950319.7191</v>
      </c>
      <c r="E6" s="9" t="n">
        <v>48781525052.00967</v>
      </c>
      <c r="F6" s="9" t="n">
        <v>105427462218.9497</v>
      </c>
      <c r="G6" s="9" t="n">
        <v>4718390733.986126</v>
      </c>
      <c r="H6" s="9" t="n">
        <v>121000622418.7929</v>
      </c>
    </row>
    <row r="7">
      <c r="A7" s="8" t="n">
        <v>4</v>
      </c>
      <c r="B7" s="9" t="n">
        <v>594031941319.2533</v>
      </c>
      <c r="C7" s="9" t="n">
        <v>267014517417.6902</v>
      </c>
      <c r="D7" s="9" t="n">
        <v>210941468759.9753</v>
      </c>
      <c r="E7" s="9" t="n">
        <v>56425571497.05643</v>
      </c>
      <c r="F7" s="9" t="n">
        <v>121947905500.0042</v>
      </c>
      <c r="G7" s="9" t="n">
        <v>5457760769.630028</v>
      </c>
      <c r="H7" s="9" t="n">
        <v>139961373987.3975</v>
      </c>
    </row>
    <row r="8">
      <c r="A8" s="8" t="n">
        <v>5</v>
      </c>
      <c r="B8" s="9" t="n">
        <v>687116520869.4901</v>
      </c>
      <c r="C8" s="9" t="n">
        <v>308855590866.4279</v>
      </c>
      <c r="D8" s="9" t="n">
        <v>243995916784.4781</v>
      </c>
      <c r="E8" s="9" t="n">
        <v>65267437116.30354</v>
      </c>
      <c r="F8" s="9" t="n">
        <v>141057095967.5909</v>
      </c>
      <c r="G8" s="9" t="n">
        <v>6312989808.995361</v>
      </c>
      <c r="H8" s="9" t="n">
        <v>161893268124.1953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Sensitivity: Implied Share Price by WACC / Terminal Growth</t>
        </is>
      </c>
    </row>
    <row r="2"/>
    <row r="3">
      <c r="A3" t="inlineStr">
        <is>
          <t>(Current market price: $480.46)</t>
        </is>
      </c>
    </row>
    <row r="4"/>
    <row r="5">
      <c r="A5" s="7" t="inlineStr">
        <is>
          <t>WACC \ Growth</t>
        </is>
      </c>
      <c r="B5" s="7" t="inlineStr">
        <is>
          <t>1.5%</t>
        </is>
      </c>
      <c r="C5" s="7" t="inlineStr">
        <is>
          <t>2.0%</t>
        </is>
      </c>
      <c r="D5" s="7" t="inlineStr">
        <is>
          <t>2.5%</t>
        </is>
      </c>
      <c r="E5" s="7" t="inlineStr">
        <is>
          <t>3.0%</t>
        </is>
      </c>
      <c r="F5" s="7" t="inlineStr">
        <is>
          <t>3.5%</t>
        </is>
      </c>
    </row>
    <row r="6">
      <c r="A6" s="2" t="inlineStr">
        <is>
          <t>7.0%</t>
        </is>
      </c>
      <c r="B6" s="10" t="n">
        <v>348.3760992240615</v>
      </c>
      <c r="C6" s="10" t="n">
        <v>378.6175503591686</v>
      </c>
      <c r="D6" s="10" t="n">
        <v>415.5793239687437</v>
      </c>
      <c r="E6" s="10" t="n">
        <v>461.7815409807127</v>
      </c>
      <c r="F6" s="10" t="n">
        <v>521.184391424673</v>
      </c>
    </row>
    <row r="7">
      <c r="A7" s="2" t="inlineStr">
        <is>
          <t>8.0%</t>
        </is>
      </c>
      <c r="B7" s="10" t="n">
        <v>291.2860319806034</v>
      </c>
      <c r="C7" s="10" t="n">
        <v>311.8312522856201</v>
      </c>
      <c r="D7" s="10" t="n">
        <v>336.1119671915487</v>
      </c>
      <c r="E7" s="10" t="n">
        <v>365.2488250786633</v>
      </c>
      <c r="F7" s="10" t="n">
        <v>400.8605402740255</v>
      </c>
    </row>
    <row r="8">
      <c r="A8" s="2" t="inlineStr">
        <is>
          <t>9.0%</t>
        </is>
      </c>
      <c r="B8" s="10" t="n">
        <v>249.5067392130416</v>
      </c>
      <c r="C8" s="10" t="n">
        <v>264.2164839500476</v>
      </c>
      <c r="D8" s="10" t="n">
        <v>281.1892663389006</v>
      </c>
      <c r="E8" s="10" t="n">
        <v>300.9908457925625</v>
      </c>
      <c r="F8" s="10" t="n">
        <v>324.3927124196176</v>
      </c>
    </row>
    <row r="9">
      <c r="A9" s="2" t="inlineStr">
        <is>
          <t>10.0%</t>
        </is>
      </c>
      <c r="B9" s="10" t="n">
        <v>217.6307926949518</v>
      </c>
      <c r="C9" s="10" t="n">
        <v>228.5802042067818</v>
      </c>
      <c r="D9" s="10" t="n">
        <v>240.9895372535223</v>
      </c>
      <c r="E9" s="10" t="n">
        <v>255.171632164083</v>
      </c>
      <c r="F9" s="10" t="n">
        <v>271.5355878301147</v>
      </c>
    </row>
    <row r="10">
      <c r="A10" s="2" t="inlineStr">
        <is>
          <t>11.0%</t>
        </is>
      </c>
      <c r="B10" s="10" t="n">
        <v>192.5277615292203</v>
      </c>
      <c r="C10" s="10" t="n">
        <v>200.9264679692829</v>
      </c>
      <c r="D10" s="10" t="n">
        <v>210.3132575199409</v>
      </c>
      <c r="E10" s="10" t="n">
        <v>220.8733957644313</v>
      </c>
      <c r="F10" s="10" t="n">
        <v>232.8415524415205</v>
      </c>
    </row>
  </sheetData>
  <conditionalFormatting sqref="B6:F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0" customWidth="1" min="3" max="3"/>
    <col width="17" customWidth="1" min="4" max="4"/>
    <col width="21" customWidth="1" min="5" max="5"/>
  </cols>
  <sheetData>
    <row r="1">
      <c r="A1" s="1" t="inlineStr">
        <is>
          <t>Scenario Comparison</t>
        </is>
      </c>
    </row>
    <row r="2"/>
    <row r="3" ht="40" customHeight="1">
      <c r="A3" s="11" t="inlineStr">
        <is>
          <t>Base case uses unadjusted historical median assumptions - the most defensible, non-circular estimate. The scenarios below show how sensitive the valuation is to specific, named judgment calls.</t>
        </is>
      </c>
    </row>
    <row r="4"/>
    <row r="5">
      <c r="A5" s="7" t="inlineStr">
        <is>
          <t>Scenario</t>
        </is>
      </c>
      <c r="B5" s="7" t="inlineStr">
        <is>
          <t>Capex Assumption</t>
        </is>
      </c>
      <c r="C5" s="7" t="inlineStr">
        <is>
          <t>WACC</t>
        </is>
      </c>
      <c r="D5" s="7" t="inlineStr">
        <is>
          <t>Terminal Growth</t>
        </is>
      </c>
      <c r="E5" s="7" t="inlineStr">
        <is>
          <t>Implied Share Price</t>
        </is>
      </c>
    </row>
    <row r="6">
      <c r="A6" s="8" t="inlineStr">
        <is>
          <t>Base case</t>
        </is>
      </c>
      <c r="B6" s="8" t="inlineStr">
        <is>
          <t>Historical median</t>
        </is>
      </c>
      <c r="C6" s="12" t="n">
        <v>0.09</v>
      </c>
      <c r="D6" s="12" t="n">
        <v>0.025</v>
      </c>
      <c r="E6" s="10" t="n">
        <v>281.1892663389006</v>
      </c>
    </row>
    <row r="7">
      <c r="A7" s="8" t="inlineStr">
        <is>
          <t>Lower capex assumption (AI spend treated as temporary)</t>
        </is>
      </c>
      <c r="B7" s="8" t="inlineStr">
        <is>
          <t>15%</t>
        </is>
      </c>
      <c r="C7" s="12" t="n">
        <v>0.09</v>
      </c>
      <c r="D7" s="12" t="n">
        <v>0.025</v>
      </c>
      <c r="E7" s="10" t="n">
        <v>348.4389719149077</v>
      </c>
    </row>
    <row r="8">
      <c r="A8" s="8" t="inlineStr">
        <is>
          <t>Lower WACC / higher growth (market-implied)</t>
        </is>
      </c>
      <c r="B8" s="8" t="inlineStr">
        <is>
          <t>Historical median</t>
        </is>
      </c>
      <c r="C8" s="12" t="n">
        <v>0.07000000000000001</v>
      </c>
      <c r="D8" s="12" t="n">
        <v>0.02</v>
      </c>
      <c r="E8" s="10" t="n">
        <v>378.6175503591686</v>
      </c>
    </row>
    <row r="9">
      <c r="A9" s="8" t="inlineStr">
        <is>
          <t>Combined: lower capex + market-implied WACC/growth</t>
        </is>
      </c>
      <c r="B9" s="8" t="inlineStr">
        <is>
          <t>15%</t>
        </is>
      </c>
      <c r="C9" s="12" t="n">
        <v>0.07000000000000001</v>
      </c>
      <c r="D9" s="12" t="n">
        <v>0.02</v>
      </c>
      <c r="E9" s="10" t="n">
        <v>468.7320912873075</v>
      </c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2026-08-20T15:27:32Z</dcterms:created>
  <dcterms:modified xmlns:dcterms="http://purl.org/dc/terms/" xmlns:xsi="http://www.w3.org/2001/XMLSchema-instance" xsi:type="dcterms:W3CDTF">2026-08-20T15:27:32Z</dcterms:modified>
</cp:coreProperties>
</file>