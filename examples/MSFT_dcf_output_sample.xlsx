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Live DCF" sheetId="3" state="visible" r:id="rId3"/>
    <sheet xmlns:r="http://schemas.openxmlformats.org/officeDocument/2006/relationships" name="Comps Valuation" sheetId="4" state="visible" r:id="rId4"/>
    <sheet xmlns:r="http://schemas.openxmlformats.org/officeDocument/2006/relationships" name="Football Field" sheetId="5" state="visible" r:id="rId5"/>
    <sheet xmlns:r="http://schemas.openxmlformats.org/officeDocument/2006/relationships" name="Monte Carlo" sheetId="6" state="visible" r:id="rId6"/>
    <sheet xmlns:r="http://schemas.openxmlformats.org/officeDocument/2006/relationships" name="Backtest" sheetId="7" state="visible" r:id="rId7"/>
    <sheet xmlns:r="http://schemas.openxmlformats.org/officeDocument/2006/relationships" name="Analyst Insights" sheetId="8" state="visible" r:id="rId8"/>
    <sheet xmlns:r="http://schemas.openxmlformats.org/officeDocument/2006/relationships" name="DCF Forecast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Scenario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$#,##0.00"/>
    <numFmt numFmtId="165" formatCode="0.0%"/>
    <numFmt numFmtId="166" formatCode="$#,##0,,&quot; M&quot;"/>
    <numFmt numFmtId="167" formatCode="#,##0,,&quot; M&quot;"/>
    <numFmt numFmtId="168" formatCode="0.0000"/>
    <numFmt numFmtId="169" formatCode="+0.0%;-0.0%"/>
    <numFmt numFmtId="170" formatCode="0.0x"/>
    <numFmt numFmtId="171" formatCode="$#,##0"/>
    <numFmt numFmtId="172" formatCode="+0.00%;-0.0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C9A227"/>
      <sz val="11"/>
    </font>
    <font>
      <name val="Arial"/>
      <b val="1"/>
      <color rgb="000B2545"/>
      <sz val="12"/>
    </font>
    <font>
      <name val="Arial"/>
      <color rgb="001F2937"/>
      <sz val="10.5"/>
    </font>
    <font>
      <name val="Arial"/>
      <i val="1"/>
      <color rgb="001F2937"/>
      <sz val="9.5"/>
    </font>
    <font>
      <name val="Arial"/>
      <b val="1"/>
      <color rgb="001F2937"/>
    </font>
    <font>
      <name val="Arial"/>
      <b val="1"/>
      <color rgb="000B2545"/>
    </font>
    <font>
      <name val="Arial"/>
      <b val="1"/>
      <color rgb="001D4ED8"/>
      <sz val="10.5"/>
    </font>
    <font>
      <name val="Arial"/>
      <b val="1"/>
      <color rgb="00FFFFFF"/>
      <sz val="11"/>
    </font>
    <font>
      <name val="Arial"/>
      <b val="1"/>
      <color rgb="000B2545"/>
      <sz val="13"/>
    </font>
  </fonts>
  <fills count="7">
    <fill>
      <patternFill/>
    </fill>
    <fill>
      <patternFill patternType="gray125"/>
    </fill>
    <fill>
      <patternFill patternType="solid">
        <fgColor rgb="000B2545"/>
        <bgColor rgb="000B2545"/>
      </patternFill>
    </fill>
    <fill>
      <patternFill patternType="solid">
        <fgColor rgb="00EEF2F7"/>
        <bgColor rgb="00EEF2F7"/>
      </patternFill>
    </fill>
    <fill>
      <patternFill patternType="solid">
        <fgColor rgb="00FFF6E3"/>
        <bgColor rgb="00FFF6E3"/>
      </patternFill>
    </fill>
    <fill>
      <patternFill patternType="solid">
        <fgColor rgb="00EFF6FF"/>
        <bgColor rgb="00EFF6FF"/>
      </patternFill>
    </fill>
    <fill>
      <patternFill patternType="solid">
        <fgColor rgb="0013315C"/>
        <bgColor rgb="0013315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3" borderId="0" pivotButton="0" quotePrefix="0" xfId="0"/>
    <xf numFmtId="0" fontId="0" fillId="3" borderId="0" pivotButton="0" quotePrefix="0" xfId="0"/>
    <xf numFmtId="0" fontId="4" fillId="0" borderId="0" applyAlignment="1" pivotButton="0" quotePrefix="0" xfId="0">
      <alignment horizontal="left" vertical="top" wrapText="1" indent="1"/>
    </xf>
    <xf numFmtId="0" fontId="4" fillId="0" borderId="0" pivotButton="0" quotePrefix="0" xfId="0"/>
    <xf numFmtId="0" fontId="5" fillId="4" borderId="0" applyAlignment="1" pivotButton="0" quotePrefix="0" xfId="0">
      <alignment horizontal="left" vertical="top" wrapText="1" indent="1"/>
    </xf>
    <xf numFmtId="0" fontId="0" fillId="4" borderId="0" pivotButton="0" quotePrefix="0" xfId="0"/>
    <xf numFmtId="0" fontId="6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7" fontId="4" fillId="0" borderId="0" pivotButton="0" quotePrefix="0" xfId="0"/>
    <xf numFmtId="0" fontId="5" fillId="0" borderId="0" applyAlignment="1" pivotButton="0" quotePrefix="0" xfId="0">
      <alignment wrapText="1"/>
    </xf>
    <xf numFmtId="2" fontId="4" fillId="0" borderId="0" pivotButton="0" quotePrefix="0" xfId="0"/>
    <xf numFmtId="10" fontId="4" fillId="0" borderId="0" pivotButton="0" quotePrefix="0" xfId="0"/>
    <xf numFmtId="0" fontId="7" fillId="0" borderId="0" pivotButton="0" quotePrefix="0" xfId="0"/>
    <xf numFmtId="10" fontId="7" fillId="0" borderId="0" pivotButton="0" quotePrefix="0" xfId="0"/>
    <xf numFmtId="0" fontId="5" fillId="0" borderId="0" pivotButton="0" quotePrefix="0" xfId="0"/>
    <xf numFmtId="165" fontId="8" fillId="5" borderId="1" pivotButton="0" quotePrefix="0" xfId="0"/>
    <xf numFmtId="166" fontId="8" fillId="5" borderId="1" pivotButton="0" quotePrefix="0" xfId="0"/>
    <xf numFmtId="167" fontId="8" fillId="5" borderId="1" pivotButton="0" quotePrefix="0" xfId="0"/>
    <xf numFmtId="164" fontId="8" fillId="5" borderId="1" pivotButton="0" quotePrefix="0" xfId="0"/>
    <xf numFmtId="0" fontId="9" fillId="6" borderId="1" applyAlignment="1" pivotButton="0" quotePrefix="0" xfId="0">
      <alignment horizontal="center"/>
    </xf>
    <xf numFmtId="166" fontId="4" fillId="0" borderId="1" pivotButton="0" quotePrefix="0" xfId="0"/>
    <xf numFmtId="168" fontId="4" fillId="0" borderId="1" pivotButton="0" quotePrefix="0" xfId="0"/>
    <xf numFmtId="0" fontId="10" fillId="0" borderId="0" pivotButton="0" quotePrefix="0" xfId="0"/>
    <xf numFmtId="164" fontId="10" fillId="0" borderId="1" pivotButton="0" quotePrefix="0" xfId="0"/>
    <xf numFmtId="169" fontId="4" fillId="0" borderId="1" pivotButton="0" quotePrefix="0" xfId="0"/>
    <xf numFmtId="0" fontId="7" fillId="0" borderId="1" pivotButton="0" quotePrefix="0" xfId="0"/>
    <xf numFmtId="170" fontId="7" fillId="0" borderId="1" pivotButton="0" quotePrefix="0" xfId="0"/>
    <xf numFmtId="166" fontId="7" fillId="0" borderId="1" pivotButton="0" quotePrefix="0" xfId="0"/>
    <xf numFmtId="0" fontId="4" fillId="0" borderId="1" pivotButton="0" quotePrefix="0" xfId="0"/>
    <xf numFmtId="170" fontId="4" fillId="0" borderId="1" pivotButton="0" quotePrefix="0" xfId="0"/>
    <xf numFmtId="164" fontId="4" fillId="0" borderId="1" pivotButton="0" quotePrefix="0" xfId="0"/>
    <xf numFmtId="171" fontId="0" fillId="0" borderId="0" pivotButton="0" quotePrefix="0" xfId="0"/>
    <xf numFmtId="165" fontId="7" fillId="0" borderId="0" pivotButton="0" quotePrefix="0" xfId="0"/>
    <xf numFmtId="10" fontId="4" fillId="0" borderId="1" pivotButton="0" quotePrefix="0" xfId="0"/>
    <xf numFmtId="172" fontId="4" fillId="0" borderId="1" pivotButton="0" quotePrefix="0" xfId="0"/>
    <xf numFmtId="10" fontId="0" fillId="0" borderId="0" pivotButton="0" quotePrefix="0" xfId="0"/>
    <xf numFmtId="172" fontId="7" fillId="0" borderId="0" pivotButton="0" quotePrefix="0" xfId="0"/>
    <xf numFmtId="0" fontId="4" fillId="0" borderId="1" applyAlignment="1" pivotButton="0" quotePrefix="0" xfId="0">
      <alignment horizontal="center"/>
    </xf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MSFT Valuation Range by Method</a:t>
            </a:r>
          </a:p>
        </rich>
      </tx>
      <overlay val="0"/>
    </title>
    <plotArea>
      <barChart>
        <barDir val="bar"/>
        <grouping val="stacked"/>
        <ser>
          <idx val="0"/>
          <order val="0"/>
          <tx>
            <strRef>
              <f>'Football Field'!B6</f>
            </strRef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cat>
            <numRef>
              <f>'Football Field'!$A$7:$A$10</f>
            </numRef>
          </cat>
          <val>
            <numRef>
              <f>'Football Field'!$B$7:$B$10</f>
            </numRef>
          </val>
        </ser>
        <ser>
          <idx val="1"/>
          <order val="1"/>
          <tx>
            <strRef>
              <f>'Football Field'!C6</f>
            </strRef>
          </tx>
          <spPr>
            <a:solidFill xmlns:a="http://schemas.openxmlformats.org/drawingml/2006/main">
              <a:srgbClr val="0B2545"/>
            </a:solidFill>
            <a:ln xmlns:a="http://schemas.openxmlformats.org/drawingml/2006/main">
              <a:prstDash val="solid"/>
            </a:ln>
          </spPr>
          <cat>
            <numRef>
              <f>'Football Field'!$A$7:$A$10</f>
            </numRef>
          </cat>
          <val>
            <numRef>
              <f>'Football Field'!$C$7:$C$10</f>
            </numRef>
          </val>
        </ser>
        <gapWidth val="15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b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MSFT Simulated Implied Price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'Monte Carlo'!B20</f>
            </strRef>
          </tx>
          <spPr>
            <a:solidFill xmlns:a="http://schemas.openxmlformats.org/drawingml/2006/main">
              <a:srgbClr val="0B2545"/>
            </a:solidFill>
            <a:ln xmlns:a="http://schemas.openxmlformats.org/drawingml/2006/main">
              <a:prstDash val="solid"/>
            </a:ln>
          </spPr>
          <cat>
            <numRef>
              <f>'Monte Carlo'!$A$21:$A$40</f>
            </numRef>
          </cat>
          <val>
            <numRef>
              <f>'Monte Carlo'!$B$21:$B$40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19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54" customHeight="1">
      <c r="A1" s="1" t="inlineStr">
        <is>
          <t>AI-Assisted DCF Valuation Tool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Microsoft Corporation (MSFT)  |  Generated 22 August 2026</t>
        </is>
      </c>
      <c r="B2" s="2" t="n"/>
      <c r="C2" s="2" t="n"/>
      <c r="D2" s="2" t="n"/>
      <c r="E2" s="2" t="n"/>
      <c r="F2" s="2" t="n"/>
      <c r="G2" s="2" t="n"/>
      <c r="H2" s="2" t="n"/>
    </row>
    <row r="5">
      <c r="A5" s="4" t="inlineStr">
        <is>
          <t>About this workbook</t>
        </is>
      </c>
      <c r="B5" s="5" t="n"/>
      <c r="C5" s="5" t="n"/>
      <c r="D5" s="5" t="n"/>
      <c r="E5" s="5" t="n"/>
      <c r="F5" s="5" t="n"/>
      <c r="G5" s="5" t="n"/>
      <c r="H5" s="5" t="n"/>
    </row>
    <row r="6" ht="70" customHeight="1">
      <c r="A6" s="6" t="inlineStr">
        <is>
          <t>A Python-built pipeline that pulls live financial data, forecasts free cash flow, runs a discounted cash flow valuation with WACC/terminal-growth sensitivity analysis, and uses an AI layer to explain (never generate) the resulting numbers. Built as a personal portfolio project applying valuation methods from an investment analyst internship in a reproducible, code-based form.</t>
        </is>
      </c>
    </row>
    <row r="8">
      <c r="A8" s="4" t="inlineStr">
        <is>
          <t>Contents</t>
        </is>
      </c>
      <c r="B8" s="5" t="n"/>
      <c r="C8" s="5" t="n"/>
      <c r="D8" s="5" t="n"/>
      <c r="E8" s="5" t="n"/>
      <c r="F8" s="5" t="n"/>
      <c r="G8" s="5" t="n"/>
      <c r="H8" s="5" t="n"/>
    </row>
    <row r="9">
      <c r="A9" s="7" t="inlineStr">
        <is>
          <t>•  Summary</t>
        </is>
      </c>
    </row>
    <row r="10">
      <c r="A10" s="7" t="inlineStr">
        <is>
          <t>•  Live DCF (Editable)</t>
        </is>
      </c>
    </row>
    <row r="11">
      <c r="A11" s="7" t="inlineStr">
        <is>
          <t>•  Analyst Insights</t>
        </is>
      </c>
    </row>
    <row r="12">
      <c r="A12" s="7" t="inlineStr">
        <is>
          <t>•  AI Valuation Summary</t>
        </is>
      </c>
    </row>
    <row r="13">
      <c r="A13" s="7" t="inlineStr">
        <is>
          <t>•  Comps Valuation</t>
        </is>
      </c>
    </row>
    <row r="14">
      <c r="A14" s="7" t="inlineStr">
        <is>
          <t>•  Football Field</t>
        </is>
      </c>
    </row>
    <row r="15">
      <c r="A15" s="7" t="inlineStr">
        <is>
          <t>•  Monte Carlo</t>
        </is>
      </c>
    </row>
    <row r="16">
      <c r="A16" s="7" t="inlineStr">
        <is>
          <t>•  Backtest</t>
        </is>
      </c>
    </row>
    <row r="17">
      <c r="A17" s="7" t="inlineStr">
        <is>
          <t>•  DCF Forecast</t>
        </is>
      </c>
    </row>
    <row r="18">
      <c r="A18" s="7" t="inlineStr">
        <is>
          <t>•  Sensitivity</t>
        </is>
      </c>
    </row>
    <row r="19">
      <c r="A19" s="7" t="inlineStr">
        <is>
          <t>•  Scenarios</t>
        </is>
      </c>
    </row>
    <row r="21">
      <c r="A21" s="4" t="inlineStr">
        <is>
          <t>Important Disclaimer</t>
        </is>
      </c>
      <c r="B21" s="5" t="n"/>
      <c r="C21" s="5" t="n"/>
      <c r="D21" s="5" t="n"/>
      <c r="E21" s="5" t="n"/>
      <c r="F21" s="5" t="n"/>
      <c r="G21" s="5" t="n"/>
      <c r="H21" s="5" t="n"/>
    </row>
    <row r="22" ht="85" customHeight="1">
      <c r="A22" s="8" t="inlineStr">
        <is>
          <t>This workbook is a personal, educational portfolio project. All valuations, ratings, and AI-generated commentary are outputs of a simplified discounted cash flow model built on a specific set of assumptions - they are NOT financial advice and should not be relied upon to make any investment decision. The author accepts no responsibility for decisions made based on this content. Always consult a licensed financial advisor and conduct your own research before investing.</t>
        </is>
      </c>
      <c r="B22" s="9" t="n"/>
      <c r="C22" s="9" t="n"/>
      <c r="D22" s="9" t="n"/>
      <c r="E22" s="9" t="n"/>
      <c r="F22" s="9" t="n"/>
      <c r="G22" s="9" t="n"/>
      <c r="H22" s="9" t="n"/>
    </row>
  </sheetData>
  <mergeCells count="4">
    <mergeCell ref="A2:H2"/>
    <mergeCell ref="A6:H6"/>
    <mergeCell ref="A22:H2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42" customHeight="1">
      <c r="A1" s="1" t="inlineStr">
        <is>
          <t>MSFT — Valuation Summary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Microsoft Corporation</t>
        </is>
      </c>
      <c r="B2" s="2" t="n"/>
      <c r="C2" s="2" t="n"/>
      <c r="D2" s="2" t="n"/>
      <c r="E2" s="2" t="n"/>
      <c r="F2" s="2" t="n"/>
      <c r="G2" s="2" t="n"/>
      <c r="H2" s="2" t="n"/>
    </row>
    <row r="3"/>
    <row r="4">
      <c r="A4" s="10" t="inlineStr">
        <is>
          <t>Current Price</t>
        </is>
      </c>
      <c r="B4" s="11" t="n">
        <v>483.24</v>
      </c>
    </row>
    <row r="5">
      <c r="A5" s="10" t="inlineStr">
        <is>
          <t>Implied Share Price (DCF)</t>
        </is>
      </c>
      <c r="B5" s="11" t="n">
        <v>281.1892663389006</v>
      </c>
    </row>
    <row r="6">
      <c r="A6" s="10" t="inlineStr">
        <is>
          <t>Upside / (Downside)</t>
        </is>
      </c>
      <c r="B6" s="12" t="n">
        <v>-0.4181167404625018</v>
      </c>
    </row>
    <row r="7">
      <c r="A7" s="10" t="inlineStr"/>
    </row>
    <row r="8">
      <c r="A8" s="10" t="inlineStr">
        <is>
          <t>Enterprise Value</t>
        </is>
      </c>
      <c r="B8" s="13" t="n">
        <v>2123874688780.422</v>
      </c>
    </row>
    <row r="9">
      <c r="A9" s="10" t="inlineStr">
        <is>
          <t>Equity Value</t>
        </is>
      </c>
      <c r="B9" s="13" t="n">
        <v>2087983688780.422</v>
      </c>
    </row>
    <row r="10">
      <c r="A10" s="10" t="inlineStr">
        <is>
          <t>Cash</t>
        </is>
      </c>
      <c r="B10" s="13" t="n">
        <v>20935000000</v>
      </c>
    </row>
    <row r="11">
      <c r="A11" s="10" t="inlineStr">
        <is>
          <t>Total Debt</t>
        </is>
      </c>
      <c r="B11" s="13" t="n">
        <v>56826000000</v>
      </c>
    </row>
    <row r="12">
      <c r="A12" s="10" t="inlineStr">
        <is>
          <t>Shares Outstanding</t>
        </is>
      </c>
      <c r="B12" s="14" t="n">
        <v>7425545491</v>
      </c>
    </row>
    <row r="13">
      <c r="A13" s="10" t="inlineStr"/>
    </row>
    <row r="14">
      <c r="A14" s="4" t="inlineStr">
        <is>
          <t>Key Assumptions</t>
        </is>
      </c>
      <c r="B14" s="5" t="n"/>
      <c r="C14" s="5" t="n"/>
    </row>
    <row r="15">
      <c r="A15" s="10" t="inlineStr">
        <is>
          <t>Revenue Growth</t>
        </is>
      </c>
      <c r="B15" s="12" t="n">
        <v>0.1566996201307127</v>
      </c>
    </row>
    <row r="16">
      <c r="A16" s="10" t="inlineStr">
        <is>
          <t>EBIT Margin</t>
        </is>
      </c>
      <c r="B16" s="12" t="n">
        <v>0.4494952187666748</v>
      </c>
    </row>
    <row r="17">
      <c r="A17" s="10" t="inlineStr">
        <is>
          <t>Capex % of Revenue</t>
        </is>
      </c>
      <c r="B17" s="12" t="n">
        <v>0.205288465177776</v>
      </c>
    </row>
    <row r="18">
      <c r="A18" s="10" t="inlineStr">
        <is>
          <t>D&amp;A % of Revenue</t>
        </is>
      </c>
      <c r="B18" s="12" t="n">
        <v>0.0949874368232522</v>
      </c>
    </row>
    <row r="19">
      <c r="A19" s="10" t="inlineStr">
        <is>
          <t>NWC % of Revenue</t>
        </is>
      </c>
      <c r="B19" s="12" t="n">
        <v>0.06781993150206261</v>
      </c>
    </row>
    <row r="20"/>
    <row r="21">
      <c r="A21" s="4" t="inlineStr">
        <is>
          <t>Suggested WACC (CAPM) — for reference</t>
        </is>
      </c>
      <c r="B21" s="5" t="n"/>
      <c r="C21" s="5" t="n"/>
    </row>
    <row r="22" ht="28" customHeight="1">
      <c r="A22" s="15" t="inlineStr">
        <is>
          <t>This is a data-driven starting point, not an automatic override. The WACC actually used in this valuation is shown above under Key Assumptions and can be set independently.</t>
        </is>
      </c>
    </row>
    <row r="23">
      <c r="A23" s="10" t="inlineStr">
        <is>
          <t>Beta</t>
        </is>
      </c>
      <c r="B23" s="16" t="n">
        <v>1.099</v>
      </c>
    </row>
    <row r="24">
      <c r="A24" s="10" t="inlineStr">
        <is>
          <t>Risk-Free Rate (10Y Treasury)</t>
        </is>
      </c>
      <c r="B24" s="17" t="n">
        <v>0.04738000000000001</v>
      </c>
    </row>
    <row r="25">
      <c r="A25" s="10" t="inlineStr">
        <is>
          <t>Equity Risk Premium</t>
        </is>
      </c>
      <c r="B25" s="17" t="n">
        <v>0.05</v>
      </c>
    </row>
    <row r="26">
      <c r="A26" s="10" t="inlineStr">
        <is>
          <t>Cost of Equity</t>
        </is>
      </c>
      <c r="B26" s="17" t="n">
        <v>0.10233</v>
      </c>
    </row>
    <row r="27">
      <c r="A27" s="10" t="inlineStr">
        <is>
          <t>Cost of Debt (after-tax)</t>
        </is>
      </c>
      <c r="B27" s="17" t="n">
        <v>0.0424152676591701</v>
      </c>
    </row>
    <row r="28">
      <c r="A28" s="10" t="inlineStr">
        <is>
          <t>Weight of Equity</t>
        </is>
      </c>
      <c r="B28" s="12" t="n">
        <v>0.9844105037901526</v>
      </c>
    </row>
    <row r="29">
      <c r="A29" s="10" t="inlineStr">
        <is>
          <t>Weight of Debt</t>
        </is>
      </c>
      <c r="B29" s="12" t="n">
        <v>0.01558949620984742</v>
      </c>
    </row>
    <row r="30">
      <c r="A30" s="18" t="inlineStr">
        <is>
          <t>Suggested WACC (CAPM)</t>
        </is>
      </c>
      <c r="B30" s="19" t="n">
        <v>0.1013959595072586</v>
      </c>
    </row>
  </sheetData>
  <mergeCells count="3">
    <mergeCell ref="A22:D22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 ht="42" customHeight="1">
      <c r="A1" s="1" t="inlineStr">
        <is>
          <t>MSFT — Live DCF (Editable)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Microsoft Corporation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0" t="inlineStr">
        <is>
          <t>Edit any blue cell below and every downstream number recalculates automatically in Excel. This sheet is a sandbox - it starts pre-filled with the same base-case assumptions as the Summary sheet, but nothing here is locked.</t>
        </is>
      </c>
    </row>
    <row r="5">
      <c r="A5" s="4" t="inlineStr">
        <is>
          <t>Key Assumptions (edit the blue cells)</t>
        </is>
      </c>
      <c r="B5" s="5" t="n"/>
      <c r="C5" s="5" t="n"/>
    </row>
    <row r="6">
      <c r="A6" s="10" t="inlineStr">
        <is>
          <t>Revenue Growth</t>
        </is>
      </c>
      <c r="B6" s="21" t="n">
        <v>0.1566996201307127</v>
      </c>
    </row>
    <row r="7">
      <c r="A7" s="10" t="inlineStr">
        <is>
          <t>EBIT Margin</t>
        </is>
      </c>
      <c r="B7" s="21" t="n">
        <v>0.4494952187666748</v>
      </c>
    </row>
    <row r="8">
      <c r="A8" s="10" t="inlineStr">
        <is>
          <t>Capex % of Revenue</t>
        </is>
      </c>
      <c r="B8" s="21" t="n">
        <v>0.205288465177776</v>
      </c>
    </row>
    <row r="9">
      <c r="A9" s="10" t="inlineStr">
        <is>
          <t>D&amp;A % of Revenue</t>
        </is>
      </c>
      <c r="B9" s="21" t="n">
        <v>0.0949874368232522</v>
      </c>
    </row>
    <row r="10">
      <c r="A10" s="10" t="inlineStr">
        <is>
          <t>NWC % of Revenue</t>
        </is>
      </c>
      <c r="B10" s="21" t="n">
        <v>0.06781993150206261</v>
      </c>
    </row>
    <row r="11">
      <c r="A11" s="10" t="inlineStr">
        <is>
          <t>Tax Rate</t>
        </is>
      </c>
      <c r="B11" s="21" t="n">
        <v>0.21</v>
      </c>
    </row>
    <row r="12">
      <c r="A12" s="10" t="inlineStr">
        <is>
          <t>WACC (Discount Rate)</t>
        </is>
      </c>
      <c r="B12" s="21" t="n">
        <v>0.09</v>
      </c>
      <c r="D12" s="20" t="inlineStr">
        <is>
          <t>Suggested (CAPM): 10.1%  —  see Summary sheet for the full breakdown</t>
        </is>
      </c>
    </row>
    <row r="13">
      <c r="A13" s="10" t="inlineStr">
        <is>
          <t>Terminal Growth Rate</t>
        </is>
      </c>
      <c r="B13" s="21" t="n">
        <v>0.025</v>
      </c>
    </row>
    <row r="15">
      <c r="A15" s="10" t="inlineStr">
        <is>
          <t>Latest Actual Revenue</t>
        </is>
      </c>
      <c r="B15" s="22" t="n">
        <v>331839000000</v>
      </c>
    </row>
    <row r="16">
      <c r="A16" s="10" t="inlineStr">
        <is>
          <t>Latest Actual NWC</t>
        </is>
      </c>
      <c r="B16" s="22" t="n">
        <v>17950000000</v>
      </c>
    </row>
    <row r="17">
      <c r="A17" s="10" t="inlineStr">
        <is>
          <t>Cash</t>
        </is>
      </c>
      <c r="B17" s="22" t="n">
        <v>20935000000</v>
      </c>
    </row>
    <row r="18">
      <c r="A18" s="10" t="inlineStr">
        <is>
          <t>Total Debt</t>
        </is>
      </c>
      <c r="B18" s="22" t="n">
        <v>56826000000</v>
      </c>
    </row>
    <row r="19">
      <c r="A19" s="10" t="inlineStr">
        <is>
          <t>Shares Outstanding</t>
        </is>
      </c>
      <c r="B19" s="23" t="n">
        <v>7425545491</v>
      </c>
    </row>
    <row r="20">
      <c r="A20" s="10" t="inlineStr">
        <is>
          <t>Current Market Price (for comparison)</t>
        </is>
      </c>
      <c r="B20" s="24" t="n">
        <v>483.24</v>
      </c>
    </row>
    <row r="22">
      <c r="A22" s="4" t="inlineStr">
        <is>
          <t>5-Year Forecast (all formulas)</t>
        </is>
      </c>
      <c r="B22" s="5" t="n"/>
      <c r="C22" s="5" t="n"/>
      <c r="D22" s="5" t="n"/>
      <c r="E22" s="5" t="n"/>
      <c r="F22" s="5" t="n"/>
    </row>
    <row r="23">
      <c r="A23" s="25" t="inlineStr">
        <is>
          <t>Metric</t>
        </is>
      </c>
      <c r="B23" s="25" t="inlineStr">
        <is>
          <t>Year 1</t>
        </is>
      </c>
      <c r="C23" s="25" t="inlineStr">
        <is>
          <t>Year 2</t>
        </is>
      </c>
      <c r="D23" s="25" t="inlineStr">
        <is>
          <t>Year 3</t>
        </is>
      </c>
      <c r="E23" s="25" t="inlineStr">
        <is>
          <t>Year 4</t>
        </is>
      </c>
      <c r="F23" s="25" t="inlineStr">
        <is>
          <t>Year 5</t>
        </is>
      </c>
    </row>
    <row r="24">
      <c r="A24" s="10" t="inlineStr">
        <is>
          <t>Revenue</t>
        </is>
      </c>
      <c r="B24" s="26">
        <f>$B$15*(1+$B$6)</f>
        <v/>
      </c>
      <c r="C24" s="26">
        <f>B24*(1+$B$6)</f>
        <v/>
      </c>
      <c r="D24" s="26">
        <f>C24*(1+$B$6)</f>
        <v/>
      </c>
      <c r="E24" s="26">
        <f>D24*(1+$B$6)</f>
        <v/>
      </c>
      <c r="F24" s="26">
        <f>E24*(1+$B$6)</f>
        <v/>
      </c>
    </row>
    <row r="25">
      <c r="A25" s="10" t="inlineStr">
        <is>
          <t>EBIT</t>
        </is>
      </c>
      <c r="B25" s="26">
        <f>B24*$B$7</f>
        <v/>
      </c>
      <c r="C25" s="26">
        <f>C24*$B$7</f>
        <v/>
      </c>
      <c r="D25" s="26">
        <f>D24*$B$7</f>
        <v/>
      </c>
      <c r="E25" s="26">
        <f>E24*$B$7</f>
        <v/>
      </c>
      <c r="F25" s="26">
        <f>F24*$B$7</f>
        <v/>
      </c>
    </row>
    <row r="26">
      <c r="A26" s="10" t="inlineStr">
        <is>
          <t>NOPAT</t>
        </is>
      </c>
      <c r="B26" s="26">
        <f>B25*(1-$B$11)</f>
        <v/>
      </c>
      <c r="C26" s="26">
        <f>C25*(1-$B$11)</f>
        <v/>
      </c>
      <c r="D26" s="26">
        <f>D25*(1-$B$11)</f>
        <v/>
      </c>
      <c r="E26" s="26">
        <f>E25*(1-$B$11)</f>
        <v/>
      </c>
      <c r="F26" s="26">
        <f>F25*(1-$B$11)</f>
        <v/>
      </c>
    </row>
    <row r="27">
      <c r="A27" s="10" t="inlineStr">
        <is>
          <t>D&amp;A</t>
        </is>
      </c>
      <c r="B27" s="26">
        <f>B24*$B$9</f>
        <v/>
      </c>
      <c r="C27" s="26">
        <f>C24*$B$9</f>
        <v/>
      </c>
      <c r="D27" s="26">
        <f>D24*$B$9</f>
        <v/>
      </c>
      <c r="E27" s="26">
        <f>E24*$B$9</f>
        <v/>
      </c>
      <c r="F27" s="26">
        <f>F24*$B$9</f>
        <v/>
      </c>
    </row>
    <row r="28">
      <c r="A28" s="10" t="inlineStr">
        <is>
          <t>Capex</t>
        </is>
      </c>
      <c r="B28" s="26">
        <f>B24*$B$8</f>
        <v/>
      </c>
      <c r="C28" s="26">
        <f>C24*$B$8</f>
        <v/>
      </c>
      <c r="D28" s="26">
        <f>D24*$B$8</f>
        <v/>
      </c>
      <c r="E28" s="26">
        <f>E24*$B$8</f>
        <v/>
      </c>
      <c r="F28" s="26">
        <f>F24*$B$8</f>
        <v/>
      </c>
    </row>
    <row r="29">
      <c r="A29" s="10" t="inlineStr">
        <is>
          <t>NWC Level</t>
        </is>
      </c>
      <c r="B29" s="26">
        <f>B24*$B$10</f>
        <v/>
      </c>
      <c r="C29" s="26">
        <f>C24*$B$10</f>
        <v/>
      </c>
      <c r="D29" s="26">
        <f>D24*$B$10</f>
        <v/>
      </c>
      <c r="E29" s="26">
        <f>E24*$B$10</f>
        <v/>
      </c>
      <c r="F29" s="26">
        <f>F24*$B$10</f>
        <v/>
      </c>
    </row>
    <row r="30">
      <c r="A30" s="10" t="inlineStr">
        <is>
          <t>Change in NWC</t>
        </is>
      </c>
      <c r="B30" s="26">
        <f>B29-$B$16</f>
        <v/>
      </c>
      <c r="C30" s="26">
        <f>C29-B29</f>
        <v/>
      </c>
      <c r="D30" s="26">
        <f>D29-C29</f>
        <v/>
      </c>
      <c r="E30" s="26">
        <f>E29-D29</f>
        <v/>
      </c>
      <c r="F30" s="26">
        <f>F29-E29</f>
        <v/>
      </c>
    </row>
    <row r="31">
      <c r="A31" s="10" t="inlineStr">
        <is>
          <t>Free Cash Flow</t>
        </is>
      </c>
      <c r="B31" s="26">
        <f>B26+B27-B28-B30</f>
        <v/>
      </c>
      <c r="C31" s="26">
        <f>C26+C27-C28-C30</f>
        <v/>
      </c>
      <c r="D31" s="26">
        <f>D26+D27-D28-D30</f>
        <v/>
      </c>
      <c r="E31" s="26">
        <f>E26+E27-E28-E30</f>
        <v/>
      </c>
      <c r="F31" s="26">
        <f>F26+F27-F28-F30</f>
        <v/>
      </c>
    </row>
    <row r="32">
      <c r="A32" s="10" t="inlineStr">
        <is>
          <t>Discount Factor</t>
        </is>
      </c>
      <c r="B32" s="27">
        <f>1/(1+$B$12)^1</f>
        <v/>
      </c>
      <c r="C32" s="27">
        <f>1/(1+$B$12)^2</f>
        <v/>
      </c>
      <c r="D32" s="27">
        <f>1/(1+$B$12)^3</f>
        <v/>
      </c>
      <c r="E32" s="27">
        <f>1/(1+$B$12)^4</f>
        <v/>
      </c>
      <c r="F32" s="27">
        <f>1/(1+$B$12)^5</f>
        <v/>
      </c>
    </row>
    <row r="33">
      <c r="A33" s="10" t="inlineStr">
        <is>
          <t>PV of FCF</t>
        </is>
      </c>
      <c r="B33" s="26">
        <f>B31*B32</f>
        <v/>
      </c>
      <c r="C33" s="26">
        <f>C31*C32</f>
        <v/>
      </c>
      <c r="D33" s="26">
        <f>D31*D32</f>
        <v/>
      </c>
      <c r="E33" s="26">
        <f>E31*E32</f>
        <v/>
      </c>
      <c r="F33" s="26">
        <f>F31*F32</f>
        <v/>
      </c>
    </row>
    <row r="35">
      <c r="A35" s="4" t="inlineStr">
        <is>
          <t>Valuation (all formulas)</t>
        </is>
      </c>
      <c r="B35" s="5" t="n"/>
    </row>
    <row r="36">
      <c r="A36" s="10" t="inlineStr">
        <is>
          <t>PV of Explicit Period FCFs</t>
        </is>
      </c>
      <c r="B36" s="26">
        <f>SUM(B33:F33)</f>
        <v/>
      </c>
    </row>
    <row r="37">
      <c r="A37" s="10" t="inlineStr">
        <is>
          <t>Terminal Value</t>
        </is>
      </c>
      <c r="B37" s="26">
        <f>F31*(1+$B$13)/($B$12-$B$13)</f>
        <v/>
      </c>
    </row>
    <row r="38">
      <c r="A38" s="10" t="inlineStr">
        <is>
          <t>PV of Terminal Value</t>
        </is>
      </c>
      <c r="B38" s="26">
        <f>B37*F32</f>
        <v/>
      </c>
    </row>
    <row r="39">
      <c r="A39" s="10" t="inlineStr">
        <is>
          <t>Enterprise Value</t>
        </is>
      </c>
      <c r="B39" s="26">
        <f>B36+B38</f>
        <v/>
      </c>
    </row>
    <row r="40">
      <c r="A40" s="10" t="inlineStr">
        <is>
          <t>Equity Value (EV - Debt + Cash)</t>
        </is>
      </c>
      <c r="B40" s="26">
        <f>B39-$B$18+$B$17</f>
        <v/>
      </c>
    </row>
    <row r="42">
      <c r="A42" s="28" t="inlineStr">
        <is>
          <t>Implied Share Price</t>
        </is>
      </c>
      <c r="B42" s="29">
        <f>B40/$B$19</f>
        <v/>
      </c>
    </row>
    <row r="43">
      <c r="A43" s="10" t="inlineStr">
        <is>
          <t>vs. Current Market Price</t>
        </is>
      </c>
      <c r="B43" s="30">
        <f>B42/$B$20-1</f>
        <v/>
      </c>
    </row>
  </sheetData>
  <mergeCells count="4">
    <mergeCell ref="D12:H12"/>
    <mergeCell ref="A3:H3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0" customWidth="1" min="3" max="3"/>
    <col width="19" customWidth="1" min="4" max="4"/>
    <col width="15" customWidth="1" min="5" max="5"/>
    <col width="10" customWidth="1" min="6" max="6"/>
    <col width="10" customWidth="1" min="7" max="7"/>
    <col width="10" customWidth="1" min="8" max="8"/>
  </cols>
  <sheetData>
    <row r="1" ht="42" customHeight="1">
      <c r="A1" s="1" t="inlineStr">
        <is>
          <t>MSFT — Comparable Company Analysis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Microsoft Corporation</t>
        </is>
      </c>
      <c r="B2" s="2" t="n"/>
      <c r="C2" s="2" t="n"/>
      <c r="D2" s="2" t="n"/>
      <c r="E2" s="2" t="n"/>
      <c r="F2" s="2" t="n"/>
      <c r="G2" s="2" t="n"/>
      <c r="H2" s="2" t="n"/>
    </row>
    <row r="3"/>
    <row r="4" ht="28" customHeight="1">
      <c r="A4" s="15" t="inlineStr">
        <is>
          <t>A second, independent valuation method: instead of forecasting cash flows, this values the company based on what similar public companies currently trade at. Peers are chosen deliberately, not auto-detected.</t>
        </is>
      </c>
    </row>
    <row r="5"/>
    <row r="6">
      <c r="A6" s="4" t="inlineStr">
        <is>
          <t>Peer Comparison</t>
        </is>
      </c>
      <c r="B6" s="5" t="n"/>
      <c r="C6" s="5" t="n"/>
      <c r="D6" s="5" t="n"/>
      <c r="E6" s="5" t="n"/>
    </row>
    <row r="7">
      <c r="A7" s="25" t="inlineStr">
        <is>
          <t>Ticker</t>
        </is>
      </c>
      <c r="B7" s="25" t="inlineStr">
        <is>
          <t>Company</t>
        </is>
      </c>
      <c r="C7" s="25" t="inlineStr">
        <is>
          <t>EV/EBITDA</t>
        </is>
      </c>
      <c r="D7" s="25" t="inlineStr">
        <is>
          <t>P/E</t>
        </is>
      </c>
      <c r="E7" s="25" t="inlineStr">
        <is>
          <t>Market Cap</t>
        </is>
      </c>
    </row>
    <row r="8">
      <c r="A8" s="31" t="inlineStr">
        <is>
          <t>MSFT</t>
        </is>
      </c>
      <c r="B8" s="31" t="inlineStr">
        <is>
          <t>Microsoft Corporation</t>
        </is>
      </c>
      <c r="C8" s="32" t="n">
        <v>18.741</v>
      </c>
      <c r="D8" s="32" t="n">
        <v>26.951477</v>
      </c>
      <c r="E8" s="33" t="n">
        <v>3588320657408</v>
      </c>
    </row>
    <row r="9">
      <c r="A9" s="34" t="inlineStr">
        <is>
          <t>GOOGL</t>
        </is>
      </c>
      <c r="B9" s="34" t="inlineStr">
        <is>
          <t>Alphabet Inc.</t>
        </is>
      </c>
      <c r="C9" s="35" t="n">
        <v>23.755</v>
      </c>
      <c r="D9" s="35" t="n">
        <v>17.301556</v>
      </c>
      <c r="E9" s="26" t="n">
        <v>4217126256640</v>
      </c>
    </row>
    <row r="10">
      <c r="A10" s="34" t="inlineStr">
        <is>
          <t>ORCL</t>
        </is>
      </c>
      <c r="B10" s="34" t="inlineStr">
        <is>
          <t>Oracle Corporation</t>
        </is>
      </c>
      <c r="C10" s="35" t="n">
        <v>18.461</v>
      </c>
      <c r="D10" s="35" t="n">
        <v>25.123499</v>
      </c>
      <c r="E10" s="26" t="n">
        <v>421902581760</v>
      </c>
    </row>
    <row r="11">
      <c r="A11" s="34" t="inlineStr">
        <is>
          <t>CRM</t>
        </is>
      </c>
      <c r="B11" s="34" t="inlineStr">
        <is>
          <t>Salesforce, Inc.</t>
        </is>
      </c>
      <c r="C11" s="35" t="n">
        <v>15.667</v>
      </c>
      <c r="D11" s="35" t="n">
        <v>23.79636</v>
      </c>
      <c r="E11" s="26" t="n">
        <v>171310235648</v>
      </c>
    </row>
    <row r="12"/>
    <row r="13">
      <c r="A13" s="4" t="inlineStr">
        <is>
          <t>Implied Share Price by Method</t>
        </is>
      </c>
      <c r="B13" s="5" t="n"/>
      <c r="C13" s="5" t="n"/>
      <c r="D13" s="5" t="n"/>
    </row>
    <row r="14">
      <c r="A14" s="25" t="inlineStr">
        <is>
          <t>Method</t>
        </is>
      </c>
      <c r="B14" s="25" t="inlineStr">
        <is>
          <t>Low</t>
        </is>
      </c>
      <c r="C14" s="25" t="inlineStr">
        <is>
          <t>Median/Base</t>
        </is>
      </c>
      <c r="D14" s="25" t="inlineStr">
        <is>
          <t>High</t>
        </is>
      </c>
    </row>
    <row r="15">
      <c r="A15" s="10" t="inlineStr">
        <is>
          <t>EV/EBITDA Multiple</t>
        </is>
      </c>
      <c r="B15" s="36" t="n">
        <v>404.9830647309959</v>
      </c>
      <c r="C15" s="36" t="n">
        <v>478.068361283286</v>
      </c>
      <c r="D15" s="36" t="n">
        <v>616.5485187449268</v>
      </c>
    </row>
    <row r="16">
      <c r="A16" s="10" t="inlineStr">
        <is>
          <t>P/E Multiple</t>
        </is>
      </c>
      <c r="B16" s="36" t="n">
        <v>310.21689908</v>
      </c>
      <c r="C16" s="36" t="n">
        <v>426.6687348</v>
      </c>
      <c r="D16" s="36" t="n">
        <v>450.46433707</v>
      </c>
    </row>
    <row r="17"/>
    <row r="18">
      <c r="A18" s="10" t="inlineStr">
        <is>
          <t>Current Market Price: $483.24</t>
        </is>
      </c>
    </row>
    <row r="19"/>
    <row r="20" ht="40" customHeight="1">
      <c r="A20" s="15" t="inlineStr">
        <is>
          <t>Limitation: peer multiples reflect current market sentiment (including any sector-wide optimism or pessimism), not independently-derived fundamentals - unlike the DCF, this method can't distinguish 'the whole sector is overvalued' from 'this company deserves its current multiple'.</t>
        </is>
      </c>
    </row>
  </sheetData>
  <mergeCells count="4">
    <mergeCell ref="A20:F20"/>
    <mergeCell ref="A2:H2"/>
    <mergeCell ref="A4:F4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14" customWidth="1" min="4" max="4"/>
    <col width="14" customWidth="1" min="5" max="5"/>
  </cols>
  <sheetData>
    <row r="1" ht="42" customHeight="1">
      <c r="A1" s="1" t="inlineStr">
        <is>
          <t>MSFT — Football Field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Microsoft Corporation</t>
        </is>
      </c>
      <c r="B2" s="2" t="n"/>
      <c r="C2" s="2" t="n"/>
      <c r="D2" s="2" t="n"/>
      <c r="E2" s="2" t="n"/>
      <c r="F2" s="2" t="n"/>
      <c r="G2" s="2" t="n"/>
      <c r="H2" s="2" t="n"/>
    </row>
    <row r="4" ht="28" customHeight="1">
      <c r="A4" s="20" t="inlineStr">
        <is>
          <t>Each bar shows the low-to-high implied share price range from one valuation method. The current market price is noted below for reference.</t>
        </is>
      </c>
    </row>
    <row r="6">
      <c r="A6" s="25" t="inlineStr">
        <is>
          <t>Method</t>
        </is>
      </c>
      <c r="B6" s="25" t="inlineStr">
        <is>
          <t>Low (base, hidden)</t>
        </is>
      </c>
      <c r="C6" s="25" t="inlineStr">
        <is>
          <t>Range (High - Low)</t>
        </is>
      </c>
      <c r="D6" s="25" t="inlineStr">
        <is>
          <t>Low</t>
        </is>
      </c>
      <c r="E6" s="25" t="inlineStr">
        <is>
          <t>High</t>
        </is>
      </c>
    </row>
    <row r="7">
      <c r="A7" s="10" t="inlineStr">
        <is>
          <t>DCF (Base Case ± Scenarios)</t>
        </is>
      </c>
      <c r="B7" s="37" t="n">
        <v>281.1892663389006</v>
      </c>
      <c r="C7" s="37" t="n">
        <v>0</v>
      </c>
      <c r="D7" s="37" t="n">
        <v>281.1892663389006</v>
      </c>
      <c r="E7" s="37" t="n">
        <v>281.1892663389006</v>
      </c>
    </row>
    <row r="8">
      <c r="A8" s="10" t="inlineStr">
        <is>
          <t>Comps: EV/EBITDA</t>
        </is>
      </c>
      <c r="B8" s="37" t="n">
        <v>404.9830647309959</v>
      </c>
      <c r="C8" s="37" t="n">
        <v>211.5654540139309</v>
      </c>
      <c r="D8" s="37" t="n">
        <v>404.9830647309959</v>
      </c>
      <c r="E8" s="37" t="n">
        <v>616.5485187449268</v>
      </c>
    </row>
    <row r="9">
      <c r="A9" s="10" t="inlineStr">
        <is>
          <t>Comps: P/E</t>
        </is>
      </c>
      <c r="B9" s="37" t="n">
        <v>310.21689908</v>
      </c>
      <c r="C9" s="37" t="n">
        <v>140.24743799</v>
      </c>
      <c r="D9" s="37" t="n">
        <v>310.21689908</v>
      </c>
      <c r="E9" s="37" t="n">
        <v>450.46433707</v>
      </c>
    </row>
    <row r="10">
      <c r="A10" s="10" t="inlineStr">
        <is>
          <t>Analyst Target Range</t>
        </is>
      </c>
      <c r="B10" s="37" t="n">
        <v>400</v>
      </c>
      <c r="C10" s="37" t="n">
        <v>470</v>
      </c>
      <c r="D10" s="37" t="n">
        <v>400</v>
      </c>
      <c r="E10" s="37" t="n">
        <v>870</v>
      </c>
    </row>
    <row r="12">
      <c r="A12" s="18" t="inlineStr">
        <is>
          <t>Current Market Price: $483.24</t>
        </is>
      </c>
    </row>
  </sheetData>
  <mergeCells count="3">
    <mergeCell ref="A2:H2"/>
    <mergeCell ref="A4:F4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2" customHeight="1">
      <c r="A1" s="1" t="inlineStr">
        <is>
          <t>MSFT — Monte Carlo Simulation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Microsoft Corporation</t>
        </is>
      </c>
      <c r="B2" s="2" t="n"/>
      <c r="C2" s="2" t="n"/>
      <c r="D2" s="2" t="n"/>
      <c r="E2" s="2" t="n"/>
      <c r="F2" s="2" t="n"/>
      <c r="G2" s="2" t="n"/>
      <c r="H2" s="2" t="n"/>
    </row>
    <row r="4" ht="40" customHeight="1">
      <c r="A4" s="15" t="inlineStr">
        <is>
          <t>1,000 simulations, randomizing revenue growth (historical std dev: 1.5%), WACC (std dev: 1.5%), and terminal growth (std dev: 0.5%). EBIT margin, capex %, D&amp;A %, and NWC % are held at their historical-median values - a documented v1 simplification.</t>
        </is>
      </c>
    </row>
    <row r="6">
      <c r="A6" s="4" t="inlineStr">
        <is>
          <t>Distribution Summary</t>
        </is>
      </c>
      <c r="B6" s="5" t="n"/>
    </row>
    <row r="7">
      <c r="A7" s="10" t="inlineStr">
        <is>
          <t>Mean Implied Price</t>
        </is>
      </c>
      <c r="B7" s="11" t="n">
        <v>304.3177079839314</v>
      </c>
    </row>
    <row r="8">
      <c r="A8" s="10" t="inlineStr">
        <is>
          <t>Median Implied Price</t>
        </is>
      </c>
      <c r="B8" s="11" t="n">
        <v>282.0478770516848</v>
      </c>
    </row>
    <row r="9">
      <c r="A9" s="10" t="inlineStr">
        <is>
          <t>Std Deviation</t>
        </is>
      </c>
      <c r="B9" s="11" t="n">
        <v>100.6151186674655</v>
      </c>
    </row>
    <row r="10">
      <c r="A10" s="10" t="inlineStr">
        <is>
          <t>5th Percentile</t>
        </is>
      </c>
      <c r="B10" s="11" t="n">
        <v>194.9331745887044</v>
      </c>
    </row>
    <row r="11">
      <c r="A11" s="10" t="inlineStr">
        <is>
          <t>25th Percentile</t>
        </is>
      </c>
      <c r="B11" s="11" t="n">
        <v>241.2953744195855</v>
      </c>
    </row>
    <row r="12">
      <c r="A12" s="10" t="inlineStr">
        <is>
          <t>75th Percentile</t>
        </is>
      </c>
      <c r="B12" s="11" t="n">
        <v>337.7123367726018</v>
      </c>
    </row>
    <row r="13">
      <c r="A13" s="10" t="inlineStr">
        <is>
          <t>95th Percentile</t>
        </is>
      </c>
      <c r="B13" s="11" t="n">
        <v>487.4341246682329</v>
      </c>
    </row>
    <row r="14">
      <c r="A14" s="10" t="inlineStr">
        <is>
          <t>Min</t>
        </is>
      </c>
      <c r="B14" s="11" t="n">
        <v>145.0258324053852</v>
      </c>
    </row>
    <row r="15">
      <c r="A15" s="10" t="inlineStr">
        <is>
          <t>Max</t>
        </is>
      </c>
      <c r="B15" s="11" t="n">
        <v>1079.550697386073</v>
      </c>
    </row>
    <row r="17">
      <c r="A17" s="10" t="inlineStr">
        <is>
          <t>Probability simulated DCF exceeds current market price ($483.24)</t>
        </is>
      </c>
      <c r="B17" s="38" t="n">
        <v>0.054</v>
      </c>
    </row>
    <row r="19">
      <c r="A19" s="4" t="inlineStr">
        <is>
          <t>Distribution of Outcomes</t>
        </is>
      </c>
      <c r="B19" s="5" t="n"/>
    </row>
    <row r="20">
      <c r="A20" s="25" t="inlineStr">
        <is>
          <t>Price Range</t>
        </is>
      </c>
      <c r="B20" s="25" t="inlineStr">
        <is>
          <t>Frequency</t>
        </is>
      </c>
    </row>
    <row r="21">
      <c r="A21" s="7" t="inlineStr">
        <is>
          <t>$145-192</t>
        </is>
      </c>
      <c r="B21" s="7" t="n">
        <v>41</v>
      </c>
    </row>
    <row r="22">
      <c r="A22" s="7" t="inlineStr">
        <is>
          <t>$192-238</t>
        </is>
      </c>
      <c r="B22" s="7" t="n">
        <v>186</v>
      </c>
    </row>
    <row r="23">
      <c r="A23" s="7" t="inlineStr">
        <is>
          <t>$238-285</t>
        </is>
      </c>
      <c r="B23" s="7" t="n">
        <v>288</v>
      </c>
    </row>
    <row r="24">
      <c r="A24" s="7" t="inlineStr">
        <is>
          <t>$285-332</t>
        </is>
      </c>
      <c r="B24" s="7" t="n">
        <v>214</v>
      </c>
    </row>
    <row r="25">
      <c r="A25" s="7" t="inlineStr">
        <is>
          <t>$332-379</t>
        </is>
      </c>
      <c r="B25" s="7" t="n">
        <v>113</v>
      </c>
    </row>
    <row r="26">
      <c r="A26" s="7" t="inlineStr">
        <is>
          <t>$379-425</t>
        </is>
      </c>
      <c r="B26" s="7" t="n">
        <v>58</v>
      </c>
    </row>
    <row r="27">
      <c r="A27" s="7" t="inlineStr">
        <is>
          <t>$425-472</t>
        </is>
      </c>
      <c r="B27" s="7" t="n">
        <v>40</v>
      </c>
    </row>
    <row r="28">
      <c r="A28" s="7" t="inlineStr">
        <is>
          <t>$472-519</t>
        </is>
      </c>
      <c r="B28" s="7" t="n">
        <v>24</v>
      </c>
    </row>
    <row r="29">
      <c r="A29" s="7" t="inlineStr">
        <is>
          <t>$519-566</t>
        </is>
      </c>
      <c r="B29" s="7" t="n">
        <v>15</v>
      </c>
    </row>
    <row r="30">
      <c r="A30" s="7" t="inlineStr">
        <is>
          <t>$566-612</t>
        </is>
      </c>
      <c r="B30" s="7" t="n">
        <v>7</v>
      </c>
    </row>
    <row r="31">
      <c r="A31" s="7" t="inlineStr">
        <is>
          <t>$612-659</t>
        </is>
      </c>
      <c r="B31" s="7" t="n">
        <v>4</v>
      </c>
    </row>
    <row r="32">
      <c r="A32" s="7" t="inlineStr">
        <is>
          <t>$659-706</t>
        </is>
      </c>
      <c r="B32" s="7" t="n">
        <v>1</v>
      </c>
    </row>
    <row r="33">
      <c r="A33" s="7" t="inlineStr">
        <is>
          <t>$706-752</t>
        </is>
      </c>
      <c r="B33" s="7" t="n">
        <v>1</v>
      </c>
    </row>
    <row r="34">
      <c r="A34" s="7" t="inlineStr">
        <is>
          <t>$752-799</t>
        </is>
      </c>
      <c r="B34" s="7" t="n">
        <v>3</v>
      </c>
    </row>
    <row r="35">
      <c r="A35" s="7" t="inlineStr">
        <is>
          <t>$799-846</t>
        </is>
      </c>
      <c r="B35" s="7" t="n">
        <v>0</v>
      </c>
    </row>
    <row r="36">
      <c r="A36" s="7" t="inlineStr">
        <is>
          <t>$846-893</t>
        </is>
      </c>
      <c r="B36" s="7" t="n">
        <v>1</v>
      </c>
    </row>
    <row r="37">
      <c r="A37" s="7" t="inlineStr">
        <is>
          <t>$893-939</t>
        </is>
      </c>
      <c r="B37" s="7" t="n">
        <v>2</v>
      </c>
    </row>
    <row r="38">
      <c r="A38" s="7" t="inlineStr">
        <is>
          <t>$939-986</t>
        </is>
      </c>
      <c r="B38" s="7" t="n">
        <v>1</v>
      </c>
    </row>
    <row r="39">
      <c r="A39" s="7" t="inlineStr">
        <is>
          <t>$986-1,033</t>
        </is>
      </c>
      <c r="B39" s="7" t="n">
        <v>0</v>
      </c>
    </row>
    <row r="40">
      <c r="A40" s="7" t="inlineStr">
        <is>
          <t>$1,033-1,080</t>
        </is>
      </c>
      <c r="B40" s="7" t="n">
        <v>1</v>
      </c>
    </row>
  </sheetData>
  <mergeCells count="3">
    <mergeCell ref="A4:H4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2" customWidth="1" min="4" max="4"/>
    <col width="12" customWidth="1" min="5" max="5"/>
  </cols>
  <sheetData>
    <row r="1" ht="42" customHeight="1">
      <c r="A1" s="1" t="inlineStr">
        <is>
          <t>MSFT — Backtest: Assumption Methodology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Microsoft Corporation</t>
        </is>
      </c>
      <c r="B2" s="2" t="n"/>
      <c r="C2" s="2" t="n"/>
      <c r="D2" s="2" t="n"/>
      <c r="E2" s="2" t="n"/>
      <c r="F2" s="2" t="n"/>
      <c r="G2" s="2" t="n"/>
      <c r="H2" s="2" t="n"/>
    </row>
    <row r="4" ht="42" customHeight="1">
      <c r="A4" s="15" t="inlineStr">
        <is>
          <t>Tests the core idea this whole model relies on: does historical-median growth/margin predict what actually happens next? Each row predicts a year using ONLY the years before it (no lookahead bias), then compares to what actually occurred. Limited to the ~4 years of history yfinance provides - directionally informative, not statistically robust with this few data points.</t>
        </is>
      </c>
    </row>
    <row r="6">
      <c r="A6" s="4" t="inlineStr">
        <is>
          <t>EBIT Margin Predictions</t>
        </is>
      </c>
      <c r="B6" s="5" t="n"/>
      <c r="C6" s="5" t="n"/>
      <c r="D6" s="5" t="n"/>
    </row>
    <row r="7">
      <c r="A7" s="25" t="inlineStr">
        <is>
          <t>Year</t>
        </is>
      </c>
      <c r="B7" s="25" t="inlineStr">
        <is>
          <t>Predicted Margin</t>
        </is>
      </c>
      <c r="C7" s="25" t="inlineStr">
        <is>
          <t>Actual Margin</t>
        </is>
      </c>
      <c r="D7" s="25" t="inlineStr">
        <is>
          <t>Error</t>
        </is>
      </c>
    </row>
    <row r="8">
      <c r="A8" s="7" t="inlineStr">
        <is>
          <t>2024</t>
        </is>
      </c>
      <c r="B8" s="39" t="n">
        <v>0.430734020715853</v>
      </c>
      <c r="C8" s="39" t="n">
        <v>0.4517016016514225</v>
      </c>
      <c r="D8" s="40" t="n">
        <v>-0.0209675809355695</v>
      </c>
    </row>
    <row r="9">
      <c r="A9" s="7" t="inlineStr">
        <is>
          <t>2025</t>
        </is>
      </c>
      <c r="B9" s="39" t="n">
        <v>0.4412178111836378</v>
      </c>
      <c r="C9" s="39" t="n">
        <v>0.447288835881927</v>
      </c>
      <c r="D9" s="40" t="n">
        <v>-0.006071024698289185</v>
      </c>
    </row>
    <row r="10">
      <c r="A10" s="7" t="inlineStr">
        <is>
          <t>2026</t>
        </is>
      </c>
      <c r="B10" s="39" t="n">
        <v>0.447288835881927</v>
      </c>
      <c r="C10" s="39" t="n">
        <v>0.5092379135665187</v>
      </c>
      <c r="D10" s="40" t="n">
        <v>-0.06194907768459174</v>
      </c>
    </row>
    <row r="12">
      <c r="A12" s="10" t="inlineStr">
        <is>
          <t>Mean Absolute Error</t>
        </is>
      </c>
      <c r="B12" s="41" t="n">
        <v>0.02966256110615014</v>
      </c>
    </row>
    <row r="13">
      <c r="A13" s="10" t="inlineStr">
        <is>
          <t>Bias (negative = under-predicts)</t>
        </is>
      </c>
      <c r="B13" s="42" t="n">
        <v>-0.02966256110615014</v>
      </c>
    </row>
    <row r="15">
      <c r="A15" s="4" t="inlineStr">
        <is>
          <t>Revenue Growth Predictions</t>
        </is>
      </c>
      <c r="B15" s="5" t="n"/>
      <c r="C15" s="5" t="n"/>
      <c r="D15" s="5" t="n"/>
    </row>
    <row r="16">
      <c r="A16" s="25" t="inlineStr">
        <is>
          <t>Year</t>
        </is>
      </c>
      <c r="B16" s="25" t="inlineStr">
        <is>
          <t>Predicted Growth</t>
        </is>
      </c>
      <c r="C16" s="25" t="inlineStr">
        <is>
          <t>Actual Growth</t>
        </is>
      </c>
      <c r="D16" s="25" t="inlineStr">
        <is>
          <t>Error</t>
        </is>
      </c>
    </row>
    <row r="17">
      <c r="A17" s="7" t="inlineStr">
        <is>
          <t>2025</t>
        </is>
      </c>
      <c r="B17" s="39" t="n">
        <v>0.1566996201307127</v>
      </c>
      <c r="C17" s="39" t="n">
        <v>0.1493215623240671</v>
      </c>
      <c r="D17" s="40" t="n">
        <v>0.007378057806645577</v>
      </c>
    </row>
    <row r="18">
      <c r="A18" s="7" t="inlineStr">
        <is>
          <t>2026</t>
        </is>
      </c>
      <c r="B18" s="39" t="n">
        <v>0.1530105912273899</v>
      </c>
      <c r="C18" s="39" t="n">
        <v>0.1778868679984666</v>
      </c>
      <c r="D18" s="40" t="n">
        <v>-0.02487627677107673</v>
      </c>
    </row>
    <row r="20">
      <c r="A20" s="10" t="inlineStr">
        <is>
          <t>Mean Absolute Error</t>
        </is>
      </c>
      <c r="B20" s="41" t="n">
        <v>0.01612716728886116</v>
      </c>
    </row>
    <row r="21">
      <c r="A21" s="10" t="inlineStr">
        <is>
          <t>Bias (negative = under-predicts)</t>
        </is>
      </c>
      <c r="B21" s="42" t="n">
        <v>-0.008749109482215578</v>
      </c>
    </row>
    <row r="23" ht="40" customHeight="1">
      <c r="A23" s="8" t="inlineStr">
        <is>
          <t>Sample size: 3 margin predictions, 2 growth predictions. This is a small sample, limited by available financial history - treat these results as suggestive, not statistically proven.</t>
        </is>
      </c>
      <c r="B23" s="9" t="n"/>
      <c r="C23" s="9" t="n"/>
      <c r="D23" s="9" t="n"/>
      <c r="E23" s="9" t="n"/>
      <c r="F23" s="9" t="n"/>
      <c r="G23" s="9" t="n"/>
      <c r="H23" s="9" t="n"/>
    </row>
  </sheetData>
  <mergeCells count="4">
    <mergeCell ref="A23:H23"/>
    <mergeCell ref="A2:H2"/>
    <mergeCell ref="A4:F4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2" customWidth="1" min="3" max="3"/>
    <col width="12" customWidth="1" min="4" max="4"/>
    <col width="13" customWidth="1" min="5" max="5"/>
    <col width="10" customWidth="1" min="6" max="6"/>
    <col width="10" customWidth="1" min="7" max="7"/>
    <col width="10" customWidth="1" min="8" max="8"/>
  </cols>
  <sheetData>
    <row r="1" ht="42" customHeight="1">
      <c r="A1" s="1" t="inlineStr">
        <is>
          <t>MSFT — Analyst Insights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Microsoft Corporation</t>
        </is>
      </c>
      <c r="B2" s="2" t="n"/>
      <c r="C2" s="2" t="n"/>
      <c r="D2" s="2" t="n"/>
      <c r="E2" s="2" t="n"/>
      <c r="F2" s="2" t="n"/>
      <c r="G2" s="2" t="n"/>
      <c r="H2" s="2" t="n"/>
    </row>
    <row r="3"/>
    <row r="4">
      <c r="A4" s="4" t="inlineStr">
        <is>
          <t>Analyst Price Targets</t>
        </is>
      </c>
      <c r="B4" s="5" t="n"/>
      <c r="C4" s="5" t="n"/>
      <c r="D4" s="5" t="n"/>
      <c r="E4" s="5" t="n"/>
    </row>
    <row r="5">
      <c r="A5" s="10" t="inlineStr">
        <is>
          <t>Low</t>
        </is>
      </c>
      <c r="B5" s="11" t="n">
        <v>400</v>
      </c>
    </row>
    <row r="6">
      <c r="A6" s="10" t="inlineStr">
        <is>
          <t>Mean</t>
        </is>
      </c>
      <c r="B6" s="11" t="n">
        <v>569.5583</v>
      </c>
    </row>
    <row r="7">
      <c r="A7" s="10" t="inlineStr">
        <is>
          <t>Current</t>
        </is>
      </c>
      <c r="B7" s="11" t="n">
        <v>483.24</v>
      </c>
    </row>
    <row r="8">
      <c r="A8" s="10" t="inlineStr">
        <is>
          <t>High</t>
        </is>
      </c>
      <c r="B8" s="11" t="n">
        <v>870</v>
      </c>
    </row>
    <row r="9"/>
    <row r="10">
      <c r="A10" s="4" t="inlineStr">
        <is>
          <t>Analyst Recommendations (most recent period)</t>
        </is>
      </c>
      <c r="B10" s="5" t="n"/>
      <c r="C10" s="5" t="n"/>
      <c r="D10" s="5" t="n"/>
      <c r="E10" s="5" t="n"/>
    </row>
    <row r="11">
      <c r="A11" s="25" t="inlineStr">
        <is>
          <t>Strong Buy</t>
        </is>
      </c>
      <c r="B11" s="25" t="inlineStr">
        <is>
          <t>Buy</t>
        </is>
      </c>
      <c r="C11" s="25" t="inlineStr">
        <is>
          <t>Hold</t>
        </is>
      </c>
      <c r="D11" s="25" t="inlineStr">
        <is>
          <t>Sell</t>
        </is>
      </c>
      <c r="E11" s="25" t="inlineStr">
        <is>
          <t>Strong Sell</t>
        </is>
      </c>
    </row>
    <row r="12">
      <c r="A12" s="43" t="n">
        <v>14</v>
      </c>
      <c r="B12" s="43" t="n">
        <v>39</v>
      </c>
      <c r="C12" s="43" t="n">
        <v>3</v>
      </c>
      <c r="D12" s="43" t="n">
        <v>0</v>
      </c>
      <c r="E12" s="43" t="n">
        <v>0</v>
      </c>
    </row>
    <row r="13"/>
    <row r="14">
      <c r="A14" s="4" t="inlineStr">
        <is>
          <t>Latest Rating Actions</t>
        </is>
      </c>
      <c r="B14" s="5" t="n"/>
      <c r="C14" s="5" t="n"/>
      <c r="D14" s="5" t="n"/>
      <c r="E14" s="5" t="n"/>
    </row>
    <row r="15">
      <c r="A15" s="25" t="inlineStr">
        <is>
          <t>Date</t>
        </is>
      </c>
      <c r="B15" s="25" t="inlineStr">
        <is>
          <t>Firm</t>
        </is>
      </c>
      <c r="C15" s="25" t="inlineStr">
        <is>
          <t>From</t>
        </is>
      </c>
      <c r="D15" s="25" t="inlineStr">
        <is>
          <t>To</t>
        </is>
      </c>
      <c r="E15" s="25" t="inlineStr">
        <is>
          <t>Action</t>
        </is>
      </c>
    </row>
    <row r="16">
      <c r="A16" s="34" t="inlineStr">
        <is>
          <t>2026-08-12</t>
        </is>
      </c>
      <c r="B16" s="34" t="inlineStr">
        <is>
          <t>Wells Fargo</t>
        </is>
      </c>
      <c r="C16" s="34" t="inlineStr">
        <is>
          <t>Overweight</t>
        </is>
      </c>
      <c r="D16" s="34" t="inlineStr">
        <is>
          <t>Overweight</t>
        </is>
      </c>
      <c r="E16" s="34" t="inlineStr">
        <is>
          <t>main</t>
        </is>
      </c>
    </row>
    <row r="17">
      <c r="A17" s="34" t="inlineStr">
        <is>
          <t>2026-08-05</t>
        </is>
      </c>
      <c r="B17" s="34" t="inlineStr">
        <is>
          <t>Tigress Financial</t>
        </is>
      </c>
      <c r="C17" s="34" t="inlineStr">
        <is>
          <t>Buy</t>
        </is>
      </c>
      <c r="D17" s="34" t="inlineStr">
        <is>
          <t>Buy</t>
        </is>
      </c>
      <c r="E17" s="34" t="inlineStr">
        <is>
          <t>main</t>
        </is>
      </c>
    </row>
    <row r="18">
      <c r="A18" s="34" t="inlineStr">
        <is>
          <t>2026-07-30</t>
        </is>
      </c>
      <c r="B18" s="34" t="inlineStr">
        <is>
          <t>Bernstein</t>
        </is>
      </c>
      <c r="C18" s="34" t="inlineStr">
        <is>
          <t>Outperform</t>
        </is>
      </c>
      <c r="D18" s="34" t="inlineStr">
        <is>
          <t>Outperform</t>
        </is>
      </c>
      <c r="E18" s="34" t="inlineStr">
        <is>
          <t>main</t>
        </is>
      </c>
    </row>
    <row r="19">
      <c r="A19" s="34" t="inlineStr">
        <is>
          <t>2026-07-30</t>
        </is>
      </c>
      <c r="B19" s="34" t="inlineStr">
        <is>
          <t>Citigroup</t>
        </is>
      </c>
      <c r="C19" s="34" t="inlineStr">
        <is>
          <t>Buy</t>
        </is>
      </c>
      <c r="D19" s="34" t="inlineStr">
        <is>
          <t>Buy</t>
        </is>
      </c>
      <c r="E19" s="34" t="inlineStr">
        <is>
          <t>main</t>
        </is>
      </c>
    </row>
    <row r="20">
      <c r="A20" s="34" t="inlineStr">
        <is>
          <t>2026-07-30</t>
        </is>
      </c>
      <c r="B20" s="34" t="inlineStr">
        <is>
          <t>RBC Capital</t>
        </is>
      </c>
      <c r="C20" s="34" t="inlineStr">
        <is>
          <t>Outperform</t>
        </is>
      </c>
      <c r="D20" s="34" t="inlineStr">
        <is>
          <t>Outperform</t>
        </is>
      </c>
      <c r="E20" s="34" t="inlineStr">
        <is>
          <t>reit</t>
        </is>
      </c>
    </row>
    <row r="21"/>
    <row r="22" ht="40" customHeight="1">
      <c r="A22" s="8" t="inlineStr">
        <is>
          <t>Sourced from Yahoo Finance analyst coverage data via yfinance. Reflects third-party sell-side analyst opinions, not this tool's own DCF output, and not investment advice.</t>
        </is>
      </c>
      <c r="B22" s="9" t="n"/>
      <c r="C22" s="9" t="n"/>
      <c r="D22" s="9" t="n"/>
      <c r="E22" s="9" t="n"/>
      <c r="F22" s="9" t="n"/>
      <c r="G22" s="9" t="n"/>
      <c r="H22" s="9" t="n"/>
    </row>
  </sheetData>
  <mergeCells count="3">
    <mergeCell ref="A2:H2"/>
    <mergeCell ref="A22:H2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19" customWidth="1" min="5" max="5"/>
    <col width="19" customWidth="1" min="6" max="6"/>
    <col width="19" customWidth="1" min="7" max="7"/>
    <col width="20" customWidth="1" min="8" max="8"/>
  </cols>
  <sheetData>
    <row r="1" ht="42" customHeight="1">
      <c r="A1" s="1" t="inlineStr">
        <is>
          <t>MSFT — 5-Year Free Cash Flow Forecast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Microsoft Corporation</t>
        </is>
      </c>
      <c r="B2" s="2" t="n"/>
      <c r="C2" s="2" t="n"/>
      <c r="D2" s="2" t="n"/>
      <c r="E2" s="2" t="n"/>
      <c r="F2" s="2" t="n"/>
      <c r="G2" s="2" t="n"/>
      <c r="H2" s="2" t="n"/>
    </row>
    <row r="3"/>
    <row r="4">
      <c r="A4" s="25" t="inlineStr">
        <is>
          <t>Year</t>
        </is>
      </c>
      <c r="B4" s="25" t="inlineStr">
        <is>
          <t>Revenue</t>
        </is>
      </c>
      <c r="C4" s="25" t="inlineStr">
        <is>
          <t>EBIT</t>
        </is>
      </c>
      <c r="D4" s="25" t="inlineStr">
        <is>
          <t>NOPAT</t>
        </is>
      </c>
      <c r="E4" s="25" t="inlineStr">
        <is>
          <t>D&amp;A</t>
        </is>
      </c>
      <c r="F4" s="25" t="inlineStr">
        <is>
          <t>Capex</t>
        </is>
      </c>
      <c r="G4" s="25" t="inlineStr">
        <is>
          <t>Change in NWC</t>
        </is>
      </c>
      <c r="H4" s="25" t="inlineStr">
        <is>
          <t>FCF</t>
        </is>
      </c>
    </row>
    <row r="5">
      <c r="A5" s="34" t="n">
        <v>1</v>
      </c>
      <c r="B5" s="26" t="n">
        <v>383838045244.5555</v>
      </c>
      <c r="C5" s="26" t="n">
        <v>172533366118.1743</v>
      </c>
      <c r="D5" s="26" t="n">
        <v>136301359233.3577</v>
      </c>
      <c r="E5" s="26" t="n">
        <v>36459792073.02784</v>
      </c>
      <c r="F5" s="26" t="n">
        <v>78797523185.09254</v>
      </c>
      <c r="G5" s="26" t="n">
        <v>8081869936.371368</v>
      </c>
      <c r="H5" s="26" t="n">
        <v>85881758184.92162</v>
      </c>
    </row>
    <row r="6">
      <c r="A6" s="34" t="n">
        <v>2</v>
      </c>
      <c r="B6" s="26" t="n">
        <v>443985321126.0927</v>
      </c>
      <c r="C6" s="26" t="n">
        <v>199569279048.7654</v>
      </c>
      <c r="D6" s="26" t="n">
        <v>157659730448.5247</v>
      </c>
      <c r="E6" s="26" t="n">
        <v>42173027640.91607</v>
      </c>
      <c r="F6" s="26" t="n">
        <v>91145065135.43758</v>
      </c>
      <c r="G6" s="26" t="n">
        <v>4079184130.321514</v>
      </c>
      <c r="H6" s="26" t="n">
        <v>104608508823.6816</v>
      </c>
    </row>
    <row r="7">
      <c r="A7" s="34" t="n">
        <v>3</v>
      </c>
      <c r="B7" s="26" t="n">
        <v>513557652290.1639</v>
      </c>
      <c r="C7" s="26" t="n">
        <v>230841709265.4671</v>
      </c>
      <c r="D7" s="26" t="n">
        <v>182364950319.7191</v>
      </c>
      <c r="E7" s="26" t="n">
        <v>48781525052.00967</v>
      </c>
      <c r="F7" s="26" t="n">
        <v>105427462218.9497</v>
      </c>
      <c r="G7" s="26" t="n">
        <v>4718390733.986126</v>
      </c>
      <c r="H7" s="26" t="n">
        <v>121000622418.7929</v>
      </c>
    </row>
    <row r="8">
      <c r="A8" s="34" t="n">
        <v>4</v>
      </c>
      <c r="B8" s="26" t="n">
        <v>594031941319.2533</v>
      </c>
      <c r="C8" s="26" t="n">
        <v>267014517417.6902</v>
      </c>
      <c r="D8" s="26" t="n">
        <v>210941468759.9753</v>
      </c>
      <c r="E8" s="26" t="n">
        <v>56425571497.05643</v>
      </c>
      <c r="F8" s="26" t="n">
        <v>121947905500.0042</v>
      </c>
      <c r="G8" s="26" t="n">
        <v>5457760769.630028</v>
      </c>
      <c r="H8" s="26" t="n">
        <v>139961373987.3975</v>
      </c>
    </row>
    <row r="9">
      <c r="A9" s="34" t="n">
        <v>5</v>
      </c>
      <c r="B9" s="26" t="n">
        <v>687116520869.4901</v>
      </c>
      <c r="C9" s="26" t="n">
        <v>308855590866.4279</v>
      </c>
      <c r="D9" s="26" t="n">
        <v>243995916784.4781</v>
      </c>
      <c r="E9" s="26" t="n">
        <v>65267437116.30354</v>
      </c>
      <c r="F9" s="26" t="n">
        <v>141057095967.5909</v>
      </c>
      <c r="G9" s="26" t="n">
        <v>6312989808.995361</v>
      </c>
      <c r="H9" s="26" t="n">
        <v>161893268124.1953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10" customWidth="1" min="7" max="7"/>
    <col width="10" customWidth="1" min="8" max="8"/>
  </cols>
  <sheetData>
    <row r="1" ht="42" customHeight="1">
      <c r="A1" s="1" t="inlineStr">
        <is>
          <t>MSFT — Sensitivity: Implied Price by WACC / Terminal Growth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Microsoft Corporation</t>
        </is>
      </c>
      <c r="B2" s="2" t="n"/>
      <c r="C2" s="2" t="n"/>
      <c r="D2" s="2" t="n"/>
      <c r="E2" s="2" t="n"/>
      <c r="F2" s="2" t="n"/>
      <c r="G2" s="2" t="n"/>
      <c r="H2" s="2" t="n"/>
    </row>
    <row r="3"/>
    <row r="4">
      <c r="A4" s="10" t="inlineStr">
        <is>
          <t>Current market price: $483.24</t>
        </is>
      </c>
    </row>
    <row r="5"/>
    <row r="6">
      <c r="A6" s="25" t="inlineStr">
        <is>
          <t>WACC \ Growth</t>
        </is>
      </c>
      <c r="B6" s="25" t="inlineStr">
        <is>
          <t>1.5%</t>
        </is>
      </c>
      <c r="C6" s="25" t="inlineStr">
        <is>
          <t>2.0%</t>
        </is>
      </c>
      <c r="D6" s="25" t="inlineStr">
        <is>
          <t>2.5%</t>
        </is>
      </c>
      <c r="E6" s="25" t="inlineStr">
        <is>
          <t>3.0%</t>
        </is>
      </c>
      <c r="F6" s="25" t="inlineStr">
        <is>
          <t>3.5%</t>
        </is>
      </c>
    </row>
    <row r="7">
      <c r="A7" s="10" t="inlineStr">
        <is>
          <t>7.0%</t>
        </is>
      </c>
      <c r="B7" s="36" t="n">
        <v>348.3760992240615</v>
      </c>
      <c r="C7" s="36" t="n">
        <v>378.6175503591686</v>
      </c>
      <c r="D7" s="36" t="n">
        <v>415.5793239687437</v>
      </c>
      <c r="E7" s="36" t="n">
        <v>461.7815409807127</v>
      </c>
      <c r="F7" s="36" t="n">
        <v>521.184391424673</v>
      </c>
    </row>
    <row r="8">
      <c r="A8" s="10" t="inlineStr">
        <is>
          <t>8.0%</t>
        </is>
      </c>
      <c r="B8" s="36" t="n">
        <v>291.2860319806034</v>
      </c>
      <c r="C8" s="36" t="n">
        <v>311.8312522856201</v>
      </c>
      <c r="D8" s="36" t="n">
        <v>336.1119671915487</v>
      </c>
      <c r="E8" s="36" t="n">
        <v>365.2488250786633</v>
      </c>
      <c r="F8" s="36" t="n">
        <v>400.8605402740255</v>
      </c>
    </row>
    <row r="9">
      <c r="A9" s="10" t="inlineStr">
        <is>
          <t>9.0%</t>
        </is>
      </c>
      <c r="B9" s="36" t="n">
        <v>249.5067392130416</v>
      </c>
      <c r="C9" s="36" t="n">
        <v>264.2164839500476</v>
      </c>
      <c r="D9" s="36" t="n">
        <v>281.1892663389006</v>
      </c>
      <c r="E9" s="36" t="n">
        <v>300.9908457925625</v>
      </c>
      <c r="F9" s="36" t="n">
        <v>324.3927124196176</v>
      </c>
    </row>
    <row r="10">
      <c r="A10" s="10" t="inlineStr">
        <is>
          <t>10.0%</t>
        </is>
      </c>
      <c r="B10" s="36" t="n">
        <v>217.6307926949518</v>
      </c>
      <c r="C10" s="36" t="n">
        <v>228.5802042067818</v>
      </c>
      <c r="D10" s="36" t="n">
        <v>240.9895372535223</v>
      </c>
      <c r="E10" s="36" t="n">
        <v>255.171632164083</v>
      </c>
      <c r="F10" s="36" t="n">
        <v>271.5355878301147</v>
      </c>
    </row>
    <row r="11">
      <c r="A11" s="10" t="inlineStr">
        <is>
          <t>11.0%</t>
        </is>
      </c>
      <c r="B11" s="36" t="n">
        <v>192.5277615292203</v>
      </c>
      <c r="C11" s="36" t="n">
        <v>200.9264679692829</v>
      </c>
      <c r="D11" s="36" t="n">
        <v>210.3132575199409</v>
      </c>
      <c r="E11" s="36" t="n">
        <v>220.8733957644313</v>
      </c>
      <c r="F11" s="36" t="n">
        <v>232.8415524415205</v>
      </c>
    </row>
  </sheetData>
  <mergeCells count="2">
    <mergeCell ref="A2:H2"/>
    <mergeCell ref="A1:H1"/>
  </mergeCells>
  <conditionalFormatting sqref="B7:F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0" customWidth="1" min="3" max="3"/>
    <col width="17" customWidth="1" min="4" max="4"/>
    <col width="21" customWidth="1" min="5" max="5"/>
    <col width="10" customWidth="1" min="6" max="6"/>
    <col width="10" customWidth="1" min="7" max="7"/>
    <col width="10" customWidth="1" min="8" max="8"/>
  </cols>
  <sheetData>
    <row r="1" ht="42" customHeight="1">
      <c r="A1" s="1" t="inlineStr">
        <is>
          <t>MSFT — Scenario Comparison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Microsoft Corporation</t>
        </is>
      </c>
      <c r="B2" s="2" t="n"/>
      <c r="C2" s="2" t="n"/>
      <c r="D2" s="2" t="n"/>
      <c r="E2" s="2" t="n"/>
      <c r="F2" s="2" t="n"/>
      <c r="G2" s="2" t="n"/>
      <c r="H2" s="2" t="n"/>
    </row>
    <row r="3"/>
    <row r="4" ht="32" customHeight="1">
      <c r="A4" s="15" t="inlineStr">
        <is>
          <t>Base case uses unadjusted historical median assumptions - the most defensible, non-circular estimate. Scenarios below show sensitivity to specific, named judgment calls.</t>
        </is>
      </c>
    </row>
    <row r="5"/>
    <row r="6">
      <c r="A6" s="25" t="inlineStr">
        <is>
          <t>Scenario</t>
        </is>
      </c>
      <c r="B6" s="25" t="inlineStr">
        <is>
          <t>Capex Assumption</t>
        </is>
      </c>
      <c r="C6" s="25" t="inlineStr">
        <is>
          <t>WACC</t>
        </is>
      </c>
      <c r="D6" s="25" t="inlineStr">
        <is>
          <t>Terminal Growth</t>
        </is>
      </c>
      <c r="E6" s="25" t="inlineStr">
        <is>
          <t>Implied Share Price</t>
        </is>
      </c>
    </row>
    <row r="7">
      <c r="A7" s="34" t="inlineStr">
        <is>
          <t>Base case</t>
        </is>
      </c>
      <c r="B7" s="34" t="inlineStr">
        <is>
          <t>Historical median</t>
        </is>
      </c>
      <c r="C7" s="44" t="n">
        <v>0.09</v>
      </c>
      <c r="D7" s="44" t="n">
        <v>0.025</v>
      </c>
      <c r="E7" s="36" t="n">
        <v>281.1892663389006</v>
      </c>
    </row>
  </sheetData>
  <mergeCells count="3">
    <mergeCell ref="A4:E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2026-08-22T13:21:44Z</dcterms:created>
  <dcterms:modified xmlns:dcterms="http://purl.org/dc/terms/" xmlns:xsi="http://www.w3.org/2001/XMLSchema-instance" xsi:type="dcterms:W3CDTF">2026-08-22T13:21:44Z</dcterms:modified>
</cp:coreProperties>
</file>